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C:\Users\blackstonex\Desktop\DigitalFury\"/>
    </mc:Choice>
  </mc:AlternateContent>
  <xr:revisionPtr revIDLastSave="0" documentId="13_ncr:1_{F97FEBDA-B62F-406B-968C-7A8546915B3B}" xr6:coauthVersionLast="40" xr6:coauthVersionMax="40" xr10:uidLastSave="{00000000-0000-0000-0000-000000000000}"/>
  <bookViews>
    <workbookView xWindow="0" yWindow="0" windowWidth="23040" windowHeight="8928" activeTab="1" xr2:uid="{00000000-000D-0000-FFFF-FFFF00000000}"/>
  </bookViews>
  <sheets>
    <sheet name="Summary" sheetId="1" r:id="rId1"/>
    <sheet name="Bug Reports" sheetId="2" r:id="rId2"/>
    <sheet name="Observations" sheetId="3" r:id="rId3"/>
  </sheets>
  <calcPr calcId="191029"/>
</workbook>
</file>

<file path=xl/calcChain.xml><?xml version="1.0" encoding="utf-8"?>
<calcChain xmlns="http://schemas.openxmlformats.org/spreadsheetml/2006/main">
  <c r="B16" i="1" l="1"/>
  <c r="E15" i="1"/>
  <c r="B15" i="1"/>
  <c r="E14" i="1"/>
  <c r="B14" i="1"/>
  <c r="E13" i="1"/>
  <c r="E12" i="1"/>
  <c r="E11" i="1"/>
  <c r="E10" i="1"/>
  <c r="B10" i="1"/>
  <c r="E9" i="1"/>
  <c r="B9" i="1"/>
  <c r="E8" i="1"/>
  <c r="B8" i="1"/>
  <c r="E7" i="1"/>
  <c r="B7" i="1"/>
  <c r="E4" i="1"/>
  <c r="B4" i="1"/>
  <c r="E16" i="1" l="1"/>
  <c r="B11" i="1"/>
</calcChain>
</file>

<file path=xl/sharedStrings.xml><?xml version="1.0" encoding="utf-8"?>
<sst xmlns="http://schemas.openxmlformats.org/spreadsheetml/2006/main" count="191" uniqueCount="129">
  <si>
    <t>DigitalFury QA summary</t>
  </si>
  <si>
    <t>Reported bugs</t>
  </si>
  <si>
    <t>Separate observations</t>
  </si>
  <si>
    <t>Severity</t>
  </si>
  <si>
    <t>Count</t>
  </si>
  <si>
    <t>Type</t>
  </si>
  <si>
    <t>Critical</t>
  </si>
  <si>
    <t>Major</t>
  </si>
  <si>
    <t>Functional / Filtering</t>
  </si>
  <si>
    <t>Minor</t>
  </si>
  <si>
    <t>UX / Functional</t>
  </si>
  <si>
    <t>Trivial</t>
  </si>
  <si>
    <t>Functional</t>
  </si>
  <si>
    <t>Total</t>
  </si>
  <si>
    <t>Business Logic</t>
  </si>
  <si>
    <t>UI / Formatting</t>
  </si>
  <si>
    <t>Priority</t>
  </si>
  <si>
    <t>Business Logic / Validation</t>
  </si>
  <si>
    <t>High</t>
  </si>
  <si>
    <t>Medium</t>
  </si>
  <si>
    <t>Validation / Delivery</t>
  </si>
  <si>
    <t>Low</t>
  </si>
  <si>
    <t>DigitalFury bug reports</t>
  </si>
  <si>
    <t>ID</t>
  </si>
  <si>
    <t>Title</t>
  </si>
  <si>
    <t>Preconditions</t>
  </si>
  <si>
    <t>Steps to Reproduce</t>
  </si>
  <si>
    <t>Actual Result</t>
  </si>
  <si>
    <t>Expected Result</t>
  </si>
  <si>
    <t>Status</t>
  </si>
  <si>
    <t>DF-BUG-01</t>
  </si>
  <si>
    <t>Intel H410 Core i3 configuration displays Core i5-12400F and H610 chipset</t>
  </si>
  <si>
    <t>DigitalFury is open. The custom configurator offers Intel H410 Core I3.</t>
  </si>
  <si>
    <t>The selected title specifies H410 and Core i3, but the details show Intel Core i5-12400F and Intel H610 Chipset.</t>
  </si>
  <si>
    <t>The configuration title and component details should describe the same CPU family and chipset.</t>
  </si>
  <si>
    <t>Open</t>
  </si>
  <si>
    <t>DF-BUG-02</t>
  </si>
  <si>
    <t>Intel B560 Core i5 configuration displays H510 chipset</t>
  </si>
  <si>
    <t>DigitalFury is open. The custom configurator offers Intel B560 Core I5.</t>
  </si>
  <si>
    <t>The title specifies Intel B560, but the details show Intel H510 Chipset. The displayed CPU is Core i5-11400F.</t>
  </si>
  <si>
    <t>The chipset in the configuration title and component details should match.</t>
  </si>
  <si>
    <t>DF-BUG-03</t>
  </si>
  <si>
    <t>AMD Ryzen 3 configuration displays Ryzen 5 5600 CPU</t>
  </si>
  <si>
    <t>DigitalFury is open. The custom configurator offers AMD Ryzen 3.</t>
  </si>
  <si>
    <t>The selected title specifies AMD Ryzen 3, but the details show AMD Ryzen 5 5600.</t>
  </si>
  <si>
    <t>The configuration title and component details should describe the same CPU family.</t>
  </si>
  <si>
    <t>DF-BUG-04</t>
  </si>
  <si>
    <t>Intel CPU filter displays an AMD Ryzen 5 5600 PC</t>
  </si>
  <si>
    <t>The PC selection configurator is open. Manufacturer, performance and memory filters are available.</t>
  </si>
  <si>
    <t>HELLCAT PRO with an AMD Ryzen 5 5600 CPU appears while Intel is selected.</t>
  </si>
  <si>
    <t>Only PCs with Intel CPUs should appear while the Intel manufacturer filter is active.</t>
  </si>
  <si>
    <t>DF-BUG-05</t>
  </si>
  <si>
    <t>No empty-state message appears when filters return no PCs</t>
  </si>
  <si>
    <t>The PC selection configurator is open. A filter combination with zero matching configurations is available.</t>
  </si>
  <si>
    <t>1. Apply a filter combination that returns no PC configurations.
2. Allow the results to finish updating.
3. Inspect the empty results area for an explanation or recovery guidance.</t>
  </si>
  <si>
    <t>The results area is blank. No message explains that no configurations match the selected filters.</t>
  </si>
  <si>
    <t>Display a clear no-results message, such as "No matching configurations found", when the result set is empty.</t>
  </si>
  <si>
    <t>DF-BUG-06</t>
  </si>
  <si>
    <t>Sorting changes the displayed product count from 186 to 176</t>
  </si>
  <si>
    <t>The PC catalog shows 186 products out of 186. No additional filters affecting the count are applied.</t>
  </si>
  <si>
    <t>1. Open the PC catalog and record the displayed count: 186 of 186.
2. Select price sorting from low to high.
3. Read the displayed product count.
4. Repeat with price from high to low and with popularity, using the same catalog scope.</t>
  </si>
  <si>
    <t>The displayed count changes to 176 of 186 after each tested sorting option, a decrease of 10.</t>
  </si>
  <si>
    <t>Sorting should change product order and preserve the count of 186 when the catalog scope and filters are unchanged.</t>
  </si>
  <si>
    <t>DF-BUG-07</t>
  </si>
  <si>
    <t>Comparison accepts incompatible product types within one category</t>
  </si>
  <si>
    <t>The product catalog is open and the comparison list is empty.</t>
  </si>
  <si>
    <t>1. Open the Peripherals category.
2. Add a flash drive, mouse, monitor and printer to comparison.
3. Open the comparison page.
4. Review the characteristics across the selected products.</t>
  </si>
  <si>
    <t>Different product types are accepted in one comparison. Many characteristics are not applicable and appear as dashes. HDD, GPU, RAM and PSU can also be compared within Components.</t>
  </si>
  <si>
    <t>Allow comparison of the same or compatible product types, or prevent incompatible selections with a clear message.</t>
  </si>
  <si>
    <t>DF-BUG-08</t>
  </si>
  <si>
    <t>Order summary displays 27 грн as 2 7 грн</t>
  </si>
  <si>
    <t>A product priced at 27 грн is available and can be added to the cart.</t>
  </si>
  <si>
    <t>1. Add one unit of the product priced at 27 грн to the cart.
2. Proceed to checkout.
3. Inspect the price in the order summary.</t>
  </si>
  <si>
    <t>The order summary inserts a space between the digits and displays 2 7 грн instead of 27 грн.</t>
  </si>
  <si>
    <t>Display 27 грн without a space between the two digits.</t>
  </si>
  <si>
    <t>DF-BUG-09</t>
  </si>
  <si>
    <t>Order accepts a negative quantity and a negative total</t>
  </si>
  <si>
    <t>A product priced at 27 грн is in the cart. Browser DevTools is available.</t>
  </si>
  <si>
    <t>The system accepts quantity -1 and total -27 грн. The recorded checkout completes and creates an order with these negative values.</t>
  </si>
  <si>
    <t>Reject quantities below 1. Prevent order creation with an invalid quantity or negative total, including values changed through DevTools.</t>
  </si>
  <si>
    <t>DF-BUG-10</t>
  </si>
  <si>
    <t>Checkout accepts an invalid email value of 1</t>
  </si>
  <si>
    <t>A product is in the cart and the checkout contact form is open.</t>
  </si>
  <si>
    <t>1. Enter otherwise valid required checkout data.
2. Enter 1 in the Email field.
3. Click Continue.
4. Observe whether checkout advances and an email error appears.</t>
  </si>
  <si>
    <t>The value 1 is accepted as an email address and checkout continues without an email-format error.</t>
  </si>
  <si>
    <t>Reject an invalid email format, show a field-specific error and prevent progression until it is corrected.</t>
  </si>
  <si>
    <t>DF-BUG-11</t>
  </si>
  <si>
    <t>Checkout accepts a numeric-only Full Name value of 1</t>
  </si>
  <si>
    <t>1. Enter otherwise valid required checkout data.
2. Enter 1 in the Full Name field.
3. Click Continue.
4. Observe whether checkout advances and a name error appears.</t>
  </si>
  <si>
    <t>The numeric-only value 1 is accepted in Full Name and checkout continues without a validation error.</t>
  </si>
  <si>
    <t>Reject a numeric-only value as a full name and display an error under the agreed name-validation rules.</t>
  </si>
  <si>
    <t>DF-BUG-12</t>
  </si>
  <si>
    <t>Checkout accepts a numeric-only City value of 1</t>
  </si>
  <si>
    <t>1. Enter otherwise valid required checkout data.
2. Enter 1 in the City field.
3. Click Continue.
4. Observe whether checkout advances and a city error appears.</t>
  </si>
  <si>
    <t>The numeric-only value 1 is accepted in City and checkout continues without a validation error.</t>
  </si>
  <si>
    <t>Require a valid city value and prevent progression when the input does not identify a city.</t>
  </si>
  <si>
    <t>DF-BUG-13</t>
  </si>
  <si>
    <t>Checkout accepts Nova Poshta branch number 0</t>
  </si>
  <si>
    <t>A product is in the cart. Checkout is open and Nova Poshta pickup is available.</t>
  </si>
  <si>
    <t>1. Select Nova Poshta pickup as the delivery method.
2. Enter otherwise valid required details, including a valid city.
3. Enter 0 in the branch field.
4. Continue checkout and observe branch validation.</t>
  </si>
  <si>
    <t>The branch field accepts 0 and checkout continues without a branch-validation error.</t>
  </si>
  <si>
    <t>Validate that the branch is valid for the selected city and prevent progression with an invalid branch such as 0.</t>
  </si>
  <si>
    <t>DigitalFury observations</t>
  </si>
  <si>
    <t>UX and requirement questions. Excluded from bug counts.</t>
  </si>
  <si>
    <t>Field</t>
  </si>
  <si>
    <t>Observation</t>
  </si>
  <si>
    <t>DF-UX-01</t>
  </si>
  <si>
    <t>Performance levels "Добре", "Краще" and "Супер" have no clear classification criteria</t>
  </si>
  <si>
    <t>Context</t>
  </si>
  <si>
    <t>The PC selection configurator offers performance levels for CPU and GPU selection.</t>
  </si>
  <si>
    <t>The labels "Добре" (Good), "Краще" (Better) and "Супер" (Super) do not explain which hardware characteristics or thresholds define each level.</t>
  </si>
  <si>
    <t>User impact</t>
  </si>
  <si>
    <t>Users cannot reliably predict which configurations a performance level will return or how two levels differ.</t>
  </si>
  <si>
    <t>Suggested improvement</t>
  </si>
  <si>
    <t>Add descriptions, tooltips or representative CPU/GPU examples. Confirm the intended classification rules with the product owner.</t>
  </si>
  <si>
    <t>Type / Status</t>
  </si>
  <si>
    <t>UX / Requirements clarification. Open observation; not classified as a confirmed bug.</t>
  </si>
  <si>
    <t>Source: pairwise/configurator discussion, 13 Sep 2026. The chat does not provide official classification requirements. No specific hardware-to-level mapping is asserted. See Summary for the source link.</t>
  </si>
  <si>
    <t>Manual exploratory testing.</t>
  </si>
  <si>
    <t>Notes</t>
  </si>
  <si>
    <t>https://www.digitalfury.pro</t>
  </si>
  <si>
    <t>1. Scroll down to the custom PC configurator on the main page.
2. Select Intel H410 Core I3 Конфігуратор.
3. Read the CPU and chipset in the configuration details.
4. Compare the details with the selected configuration title.</t>
  </si>
  <si>
    <t>1. Scroll down to the custom PC configurator on the main page.
2. Select Intel B560 Core I5 Конфігуратор.
3. Read the chipset in the configuration details.
4. Compare it with the chipset in the selected title.</t>
  </si>
  <si>
    <t>1. Scroll down to the custom PC configurator on the main page.
2. Select AMD Ryzen 3 Конфігуратор.
3. Read the CPU in the configuration details.
4. Compare it with the CPU family in the selected title.</t>
  </si>
  <si>
    <t>Exploratory testing findings.</t>
  </si>
  <si>
    <t>1. Open the cart.
2. Use browser DevTools to change the product quantity to -2 and click plus.
3. Observe the recalculated total.
4. Proceed to checkout and complete the required fields.
5. Select delivery and payment methods.
6. Submit the order and inspect the confirmation.</t>
  </si>
  <si>
    <t>Data inconsistency</t>
  </si>
  <si>
    <t>Input Validation</t>
  </si>
  <si>
    <t>1. Select Intel as the CPU manufacturer, Процесор - "Краще", Відеокарта - "Краще", Пам'ять - "8GB"
2. Apply the performance and memory combination used in the recorded failing run.
3. Review the returned PC cards.
4. Inspect the CPU shown for HELLCAT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</si>
</sst>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1"/>
      <color rgb="FF233247"/>
      <name val="Arial"/>
    </font>
    <font>
      <b/>
      <sz val="19"/>
      <color rgb="FF263F63"/>
      <name val="Arial"/>
    </font>
    <font>
      <i/>
      <sz val="11"/>
      <color rgb="FF627184"/>
      <name val="Arial"/>
    </font>
    <font>
      <b/>
      <sz val="11"/>
      <color rgb="FF263F63"/>
      <name val="Arial"/>
    </font>
    <font>
      <b/>
      <sz val="11"/>
      <color rgb="FFFFFFFF"/>
      <name val="Arial"/>
    </font>
    <font>
      <b/>
      <sz val="11"/>
      <color rgb="FF233247"/>
      <name val="Arial"/>
    </font>
    <font>
      <sz val="10"/>
      <color rgb="FF627184"/>
      <name val="Arial"/>
    </font>
    <font>
      <sz val="11"/>
      <name val="Carlito"/>
    </font>
    <font>
      <u/>
      <sz val="11"/>
      <color theme="10"/>
      <name val="Carlito"/>
    </font>
  </fonts>
  <fills count="6">
    <fill>
      <patternFill patternType="none"/>
    </fill>
    <fill>
      <patternFill patternType="gray125"/>
    </fill>
    <fill>
      <patternFill patternType="solid">
        <fgColor rgb="FFFFFFFF"/>
      </patternFill>
    </fill>
    <fill>
      <patternFill patternType="solid">
        <fgColor rgb="FFF2F5F9"/>
      </patternFill>
    </fill>
    <fill>
      <patternFill patternType="solid">
        <fgColor rgb="FF263F63"/>
      </patternFill>
    </fill>
    <fill>
      <patternFill patternType="solid">
        <fgColor theme="0"/>
        <bgColor indexed="64"/>
      </patternFill>
    </fill>
  </fills>
  <borders count="6">
    <border>
      <left/>
      <right/>
      <top/>
      <bottom/>
      <diagonal/>
    </border>
    <border>
      <left/>
      <right/>
      <top/>
      <bottom style="thin">
        <color rgb="FF93A4BC"/>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style="thin">
        <color rgb="FFB8C4D2"/>
      </top>
      <bottom/>
      <diagonal/>
    </border>
  </borders>
  <cellStyleXfs count="3">
    <xf numFmtId="0" fontId="0" fillId="0" borderId="0"/>
    <xf numFmtId="0" fontId="8" fillId="0" borderId="0"/>
    <xf numFmtId="0" fontId="9" fillId="0" borderId="0" applyNumberFormat="0" applyFill="0" applyBorder="0" applyAlignment="0" applyProtection="0"/>
  </cellStyleXfs>
  <cellXfs count="26">
    <xf numFmtId="0" fontId="0" fillId="0" borderId="0" xfId="0"/>
    <xf numFmtId="0" fontId="1" fillId="0" borderId="0" xfId="1" applyNumberFormat="1" applyFont="1" applyFill="1" applyBorder="1" applyAlignment="1">
      <alignment vertical="top"/>
    </xf>
    <xf numFmtId="0" fontId="2" fillId="0" borderId="1" xfId="1" applyNumberFormat="1" applyFont="1" applyFill="1" applyBorder="1" applyAlignment="1">
      <alignment vertical="top"/>
    </xf>
    <xf numFmtId="0" fontId="1" fillId="0" borderId="1" xfId="1" applyNumberFormat="1" applyFont="1" applyFill="1" applyBorder="1" applyAlignment="1">
      <alignment vertical="top"/>
    </xf>
    <xf numFmtId="0" fontId="3" fillId="0" borderId="0" xfId="1" applyNumberFormat="1" applyFont="1" applyFill="1" applyBorder="1" applyAlignment="1">
      <alignment vertical="top"/>
    </xf>
    <xf numFmtId="0" fontId="1" fillId="0" borderId="0" xfId="1" applyNumberFormat="1" applyFont="1" applyFill="1" applyBorder="1" applyAlignment="1">
      <alignment vertical="top" wrapText="1"/>
    </xf>
    <xf numFmtId="0" fontId="1" fillId="2" borderId="0" xfId="1" applyNumberFormat="1" applyFont="1" applyFill="1" applyBorder="1" applyAlignment="1">
      <alignment vertical="top" wrapText="1"/>
    </xf>
    <xf numFmtId="0" fontId="4" fillId="2" borderId="0" xfId="1" applyNumberFormat="1" applyFont="1" applyFill="1" applyBorder="1" applyAlignment="1">
      <alignment vertical="top" wrapText="1"/>
    </xf>
    <xf numFmtId="0" fontId="1" fillId="3" borderId="0" xfId="1" applyNumberFormat="1" applyFont="1" applyFill="1" applyBorder="1" applyAlignment="1">
      <alignment vertical="top" wrapText="1"/>
    </xf>
    <xf numFmtId="0" fontId="4" fillId="3" borderId="0" xfId="1" applyNumberFormat="1" applyFont="1" applyFill="1" applyBorder="1" applyAlignment="1">
      <alignment vertical="top" wrapText="1"/>
    </xf>
    <xf numFmtId="0" fontId="5" fillId="4" borderId="2" xfId="1" applyNumberFormat="1" applyFont="1" applyFill="1" applyBorder="1" applyAlignment="1">
      <alignment horizontal="center" vertical="center" wrapText="1"/>
    </xf>
    <xf numFmtId="0" fontId="5" fillId="4" borderId="3" xfId="1" applyNumberFormat="1" applyFont="1" applyFill="1" applyBorder="1" applyAlignment="1">
      <alignment horizontal="center" vertical="center" wrapText="1"/>
    </xf>
    <xf numFmtId="0" fontId="5" fillId="4" borderId="4" xfId="1" applyNumberFormat="1" applyFont="1" applyFill="1" applyBorder="1" applyAlignment="1">
      <alignment horizontal="center" vertical="center" wrapText="1"/>
    </xf>
    <xf numFmtId="0" fontId="1" fillId="2" borderId="0" xfId="1" applyNumberFormat="1" applyFont="1" applyFill="1" applyBorder="1" applyAlignment="1">
      <alignment horizontal="center" vertical="top" wrapText="1"/>
    </xf>
    <xf numFmtId="0" fontId="1" fillId="3" borderId="0" xfId="1" applyNumberFormat="1" applyFont="1" applyFill="1" applyBorder="1" applyAlignment="1">
      <alignment horizontal="center" vertical="top" wrapText="1"/>
    </xf>
    <xf numFmtId="0" fontId="6" fillId="3" borderId="0" xfId="1" applyNumberFormat="1" applyFont="1" applyFill="1" applyBorder="1" applyAlignment="1">
      <alignment vertical="center"/>
    </xf>
    <xf numFmtId="0" fontId="6" fillId="3" borderId="5" xfId="1" applyNumberFormat="1" applyFont="1" applyFill="1" applyBorder="1" applyAlignment="1">
      <alignment vertical="top"/>
    </xf>
    <xf numFmtId="1" fontId="5" fillId="4" borderId="4" xfId="1" applyNumberFormat="1" applyFont="1" applyFill="1" applyBorder="1" applyAlignment="1">
      <alignment horizontal="center" vertical="center" wrapText="1"/>
    </xf>
    <xf numFmtId="1" fontId="6" fillId="3" borderId="0" xfId="1" applyNumberFormat="1" applyFont="1" applyFill="1" applyBorder="1" applyAlignment="1">
      <alignment horizontal="right" vertical="center"/>
    </xf>
    <xf numFmtId="1" fontId="1" fillId="0" borderId="0" xfId="1" applyNumberFormat="1" applyFont="1" applyFill="1" applyBorder="1" applyAlignment="1">
      <alignment horizontal="right" vertical="top"/>
    </xf>
    <xf numFmtId="1" fontId="6" fillId="3" borderId="5" xfId="1" applyNumberFormat="1" applyFont="1" applyFill="1" applyBorder="1" applyAlignment="1">
      <alignment horizontal="right" vertical="top"/>
    </xf>
    <xf numFmtId="0" fontId="7" fillId="0" borderId="0" xfId="1" applyNumberFormat="1" applyFont="1" applyFill="1" applyBorder="1" applyAlignment="1">
      <alignment vertical="top"/>
    </xf>
    <xf numFmtId="0" fontId="1" fillId="5" borderId="0" xfId="1" applyNumberFormat="1" applyFont="1" applyFill="1" applyBorder="1" applyAlignment="1">
      <alignment vertical="top"/>
    </xf>
    <xf numFmtId="0" fontId="5" fillId="5" borderId="0" xfId="1" applyNumberFormat="1" applyFont="1" applyFill="1" applyBorder="1" applyAlignment="1">
      <alignment horizontal="center" vertical="center" wrapText="1"/>
    </xf>
    <xf numFmtId="0" fontId="4" fillId="5" borderId="0" xfId="1" applyNumberFormat="1" applyFont="1" applyFill="1" applyBorder="1" applyAlignment="1">
      <alignment vertical="top"/>
    </xf>
    <xf numFmtId="0" fontId="9" fillId="0" borderId="0" xfId="2" applyNumberFormat="1" applyFill="1" applyBorder="1" applyAlignment="1">
      <alignment vertical="top"/>
    </xf>
  </cellXfs>
  <cellStyles count="3">
    <cellStyle name="Normal" xfId="1" xr:uid="{00000000-0005-0000-0000-000000000000}"/>
    <cellStyle name="Гіперпосилання" xfId="2" builtinId="8"/>
    <cellStyle name="Звичайний" xfId="0" builtinId="0"/>
  </cellStyles>
  <dxfs count="7">
    <dxf>
      <font>
        <b/>
        <color rgb="FF205D49"/>
      </font>
      <fill>
        <patternFill patternType="solid">
          <bgColor rgb="FFDBEEE7"/>
        </patternFill>
      </fill>
    </dxf>
    <dxf>
      <font>
        <b/>
        <color rgb="FF795C09"/>
      </font>
      <fill>
        <patternFill patternType="solid">
          <bgColor rgb="FFFFF0CC"/>
        </patternFill>
      </fill>
    </dxf>
    <dxf>
      <font>
        <b/>
        <color rgb="FF8C2323"/>
      </font>
      <fill>
        <patternFill patternType="solid">
          <bgColor rgb="FFF8DCDC"/>
        </patternFill>
      </fill>
    </dxf>
    <dxf>
      <font>
        <b/>
        <color rgb="FF40556D"/>
      </font>
      <fill>
        <patternFill patternType="solid">
          <bgColor rgb="FFE7EEF5"/>
        </patternFill>
      </fill>
    </dxf>
    <dxf>
      <font>
        <b/>
        <color rgb="FF725509"/>
      </font>
      <fill>
        <patternFill patternType="solid">
          <bgColor rgb="FFFFF1BE"/>
        </patternFill>
      </fill>
    </dxf>
    <dxf>
      <font>
        <b/>
        <color rgb="FF943D13"/>
      </font>
      <fill>
        <patternFill patternType="solid">
          <bgColor rgb="FFFCE4D6"/>
        </patternFill>
      </fill>
    </dxf>
    <dxf>
      <font>
        <b/>
        <color rgb="FF8B1515"/>
      </font>
      <fill>
        <patternFill patternType="solid">
          <bgColor rgb="FFF9CD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gitalFuryBugs" displayName="DigitalFuryBugs" ref="A4:J17" totalsRowShown="0">
  <autoFilter ref="A4:J17" xr:uid="{00000000-0009-0000-0100-000001000000}"/>
  <tableColumns count="10">
    <tableColumn id="1" xr3:uid="{00000000-0010-0000-0000-000001000000}" name="ID"/>
    <tableColumn id="2" xr3:uid="{00000000-0010-0000-0000-000002000000}" name="Title"/>
    <tableColumn id="3" xr3:uid="{00000000-0010-0000-0000-000003000000}" name="Preconditions"/>
    <tableColumn id="4" xr3:uid="{00000000-0010-0000-0000-000004000000}" name="Steps to Reproduce"/>
    <tableColumn id="5" xr3:uid="{00000000-0010-0000-0000-000005000000}" name="Actual Result"/>
    <tableColumn id="6" xr3:uid="{00000000-0010-0000-0000-000006000000}" name="Expected Result"/>
    <tableColumn id="7" xr3:uid="{00000000-0010-0000-0000-000007000000}" name="Severity"/>
    <tableColumn id="8" xr3:uid="{00000000-0010-0000-0000-000008000000}" name="Priority"/>
    <tableColumn id="9" xr3:uid="{00000000-0010-0000-0000-000009000000}" name="Type"/>
    <tableColumn id="10" xr3:uid="{00000000-0010-0000-0000-00000A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igitalfury.pr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showGridLines="0" topLeftCell="A7" workbookViewId="0">
      <selection activeCell="D19" sqref="D19"/>
    </sheetView>
  </sheetViews>
  <sheetFormatPr defaultRowHeight="13.8"/>
  <cols>
    <col min="1" max="1" width="40" customWidth="1"/>
    <col min="2" max="2" width="18.19921875" customWidth="1"/>
    <col min="3" max="3" width="2" customWidth="1"/>
    <col min="4" max="4" width="43" customWidth="1"/>
    <col min="5" max="5" width="12" customWidth="1"/>
  </cols>
  <sheetData>
    <row r="1" spans="1:5" ht="34.049999999999997" customHeight="1">
      <c r="A1" s="2" t="s">
        <v>0</v>
      </c>
      <c r="B1" s="3"/>
      <c r="C1" s="3"/>
      <c r="D1" s="3"/>
      <c r="E1" s="3"/>
    </row>
    <row r="2" spans="1:5" ht="22.95" customHeight="1">
      <c r="A2" s="4" t="s">
        <v>118</v>
      </c>
      <c r="B2" s="1"/>
      <c r="C2" s="1"/>
      <c r="D2" s="1"/>
      <c r="E2" s="1"/>
    </row>
    <row r="3" spans="1:5" ht="22.95" customHeight="1">
      <c r="A3" s="25" t="s">
        <v>120</v>
      </c>
      <c r="B3" s="1"/>
      <c r="C3" s="1"/>
      <c r="D3" s="1"/>
      <c r="E3" s="1"/>
    </row>
    <row r="4" spans="1:5" ht="30" customHeight="1">
      <c r="A4" s="15" t="s">
        <v>1</v>
      </c>
      <c r="B4" s="18">
        <f>COUNTA(DigitalFuryBugs[ID])</f>
        <v>13</v>
      </c>
      <c r="C4" s="1"/>
      <c r="D4" s="15" t="s">
        <v>2</v>
      </c>
      <c r="E4" s="18">
        <f>COUNTA(Observations!$B$5)</f>
        <v>1</v>
      </c>
    </row>
    <row r="5" spans="1:5" ht="22.95" customHeight="1">
      <c r="A5" s="1"/>
      <c r="B5" s="19"/>
      <c r="C5" s="1"/>
      <c r="D5" s="1"/>
      <c r="E5" s="19"/>
    </row>
    <row r="6" spans="1:5" ht="31.95" customHeight="1">
      <c r="A6" s="10" t="s">
        <v>3</v>
      </c>
      <c r="B6" s="17" t="s">
        <v>4</v>
      </c>
      <c r="C6" s="1"/>
      <c r="D6" s="10" t="s">
        <v>5</v>
      </c>
      <c r="E6" s="17" t="s">
        <v>4</v>
      </c>
    </row>
    <row r="7" spans="1:5" ht="22.95" customHeight="1">
      <c r="A7" s="1" t="s">
        <v>6</v>
      </c>
      <c r="B7" s="19">
        <f>COUNTIF(DigitalFuryBugs[Severity],A7)</f>
        <v>0</v>
      </c>
      <c r="C7" s="1"/>
      <c r="D7" s="1" t="s">
        <v>126</v>
      </c>
      <c r="E7" s="19">
        <f>COUNTIF(DigitalFuryBugs[Type],D7)</f>
        <v>3</v>
      </c>
    </row>
    <row r="8" spans="1:5" ht="22.95" customHeight="1">
      <c r="A8" s="1" t="s">
        <v>7</v>
      </c>
      <c r="B8" s="19">
        <f>COUNTIF(DigitalFuryBugs[Severity],A8)</f>
        <v>7</v>
      </c>
      <c r="C8" s="1"/>
      <c r="D8" s="1" t="s">
        <v>8</v>
      </c>
      <c r="E8" s="19">
        <f>COUNTIF(DigitalFuryBugs[Type],D8)</f>
        <v>1</v>
      </c>
    </row>
    <row r="9" spans="1:5" ht="22.95" customHeight="1">
      <c r="A9" s="1" t="s">
        <v>9</v>
      </c>
      <c r="B9" s="19">
        <f>COUNTIF(DigitalFuryBugs[Severity],A9)</f>
        <v>6</v>
      </c>
      <c r="C9" s="1"/>
      <c r="D9" s="1" t="s">
        <v>10</v>
      </c>
      <c r="E9" s="19">
        <f>COUNTIF(DigitalFuryBugs[Type],D9)</f>
        <v>1</v>
      </c>
    </row>
    <row r="10" spans="1:5" ht="22.95" customHeight="1">
      <c r="A10" s="1" t="s">
        <v>11</v>
      </c>
      <c r="B10" s="19">
        <f>COUNTIF(DigitalFuryBugs[Severity],A10)</f>
        <v>0</v>
      </c>
      <c r="C10" s="1"/>
      <c r="D10" s="1" t="s">
        <v>12</v>
      </c>
      <c r="E10" s="19">
        <f>COUNTIF(DigitalFuryBugs[Type],D10)</f>
        <v>1</v>
      </c>
    </row>
    <row r="11" spans="1:5" ht="22.95" customHeight="1">
      <c r="A11" s="16" t="s">
        <v>13</v>
      </c>
      <c r="B11" s="20">
        <f>SUM(B7:B10)</f>
        <v>13</v>
      </c>
      <c r="C11" s="1"/>
      <c r="D11" s="1" t="s">
        <v>14</v>
      </c>
      <c r="E11" s="19">
        <f>COUNTIF(DigitalFuryBugs[Type],D11)</f>
        <v>1</v>
      </c>
    </row>
    <row r="12" spans="1:5" ht="22.95" customHeight="1">
      <c r="A12" s="1"/>
      <c r="B12" s="19"/>
      <c r="C12" s="1"/>
      <c r="D12" s="1" t="s">
        <v>15</v>
      </c>
      <c r="E12" s="19">
        <f>COUNTIF(DigitalFuryBugs[Type],D12)</f>
        <v>1</v>
      </c>
    </row>
    <row r="13" spans="1:5" ht="31.95" customHeight="1">
      <c r="A13" s="10" t="s">
        <v>16</v>
      </c>
      <c r="B13" s="17" t="s">
        <v>4</v>
      </c>
      <c r="C13" s="1"/>
      <c r="D13" s="1" t="s">
        <v>17</v>
      </c>
      <c r="E13" s="19">
        <f>COUNTIF(DigitalFuryBugs[Type],D13)</f>
        <v>1</v>
      </c>
    </row>
    <row r="14" spans="1:5" ht="22.95" customHeight="1">
      <c r="A14" s="1" t="s">
        <v>18</v>
      </c>
      <c r="B14" s="19">
        <f>COUNTIF(DigitalFuryBugs[Priority],A14)</f>
        <v>3</v>
      </c>
      <c r="C14" s="1"/>
      <c r="D14" s="1" t="s">
        <v>127</v>
      </c>
      <c r="E14" s="19">
        <f>COUNTIF(DigitalFuryBugs[Type],D14)</f>
        <v>3</v>
      </c>
    </row>
    <row r="15" spans="1:5" ht="22.95" customHeight="1">
      <c r="A15" s="1" t="s">
        <v>19</v>
      </c>
      <c r="B15" s="19">
        <f>COUNTIF(DigitalFuryBugs[Priority],A15)</f>
        <v>9</v>
      </c>
      <c r="C15" s="1"/>
      <c r="D15" s="1" t="s">
        <v>20</v>
      </c>
      <c r="E15" s="19">
        <f>COUNTIF(DigitalFuryBugs[Type],D15)</f>
        <v>1</v>
      </c>
    </row>
    <row r="16" spans="1:5" ht="22.95" customHeight="1">
      <c r="A16" s="1" t="s">
        <v>21</v>
      </c>
      <c r="B16" s="19">
        <f>COUNTIF(DigitalFuryBugs[Priority],A16)</f>
        <v>1</v>
      </c>
      <c r="C16" s="1"/>
      <c r="D16" s="16" t="s">
        <v>13</v>
      </c>
      <c r="E16" s="20">
        <f>SUM(E7:E15)</f>
        <v>13</v>
      </c>
    </row>
    <row r="17" spans="1:5" ht="22.95" customHeight="1">
      <c r="A17" s="1"/>
      <c r="B17" s="1"/>
      <c r="C17" s="1"/>
      <c r="D17" s="1"/>
      <c r="E17" s="1"/>
    </row>
    <row r="18" spans="1:5" ht="22.95" customHeight="1">
      <c r="A18" s="1"/>
      <c r="B18" s="1"/>
      <c r="C18" s="1"/>
      <c r="D18" s="1"/>
      <c r="E18" s="1"/>
    </row>
    <row r="19" spans="1:5" ht="31.95" customHeight="1">
      <c r="A19" s="23"/>
      <c r="B19" s="23"/>
      <c r="C19" s="23"/>
      <c r="D19" s="23"/>
      <c r="E19" s="23"/>
    </row>
    <row r="20" spans="1:5" ht="22.95" customHeight="1">
      <c r="A20" s="22"/>
      <c r="B20" s="22"/>
      <c r="C20" s="22"/>
      <c r="D20" s="22"/>
      <c r="E20" s="22"/>
    </row>
    <row r="21" spans="1:5" ht="22.95" customHeight="1">
      <c r="A21" s="22"/>
      <c r="B21" s="22"/>
      <c r="C21" s="22"/>
      <c r="D21" s="22"/>
      <c r="E21" s="22"/>
    </row>
    <row r="22" spans="1:5" ht="22.95" customHeight="1">
      <c r="A22" s="22"/>
      <c r="B22" s="22"/>
      <c r="C22" s="22"/>
      <c r="D22" s="22"/>
      <c r="E22" s="22"/>
    </row>
    <row r="23" spans="1:5" ht="22.95" customHeight="1">
      <c r="A23" s="22"/>
      <c r="B23" s="22"/>
      <c r="C23" s="22"/>
      <c r="D23" s="22"/>
      <c r="E23" s="22"/>
    </row>
    <row r="24" spans="1:5" ht="22.95" customHeight="1">
      <c r="A24" s="24"/>
      <c r="B24" s="24"/>
      <c r="C24" s="24"/>
      <c r="D24" s="24"/>
      <c r="E24" s="24"/>
    </row>
    <row r="25" spans="1:5" ht="22.05" customHeight="1">
      <c r="A25" s="21"/>
      <c r="B25" s="21"/>
      <c r="C25" s="21"/>
      <c r="D25" s="21"/>
      <c r="E25" s="21"/>
    </row>
    <row r="26" spans="1:5" ht="22.05" customHeight="1">
      <c r="A26" s="21"/>
      <c r="B26" s="21"/>
      <c r="C26" s="21"/>
      <c r="D26" s="21"/>
      <c r="E26" s="21"/>
    </row>
    <row r="27" spans="1:5" ht="22.05" customHeight="1">
      <c r="A27" s="21"/>
      <c r="B27" s="21"/>
      <c r="C27" s="21"/>
      <c r="D27" s="21"/>
      <c r="E27" s="21"/>
    </row>
    <row r="28" spans="1:5" ht="22.05" customHeight="1">
      <c r="A28" s="21"/>
      <c r="B28" s="21"/>
      <c r="C28" s="21"/>
      <c r="D28" s="21"/>
      <c r="E28" s="21"/>
    </row>
    <row r="29" spans="1:5" ht="22.05" customHeight="1">
      <c r="A29" s="21"/>
      <c r="B29" s="21"/>
      <c r="C29" s="21"/>
      <c r="D29" s="21"/>
      <c r="E29" s="21"/>
    </row>
    <row r="30" spans="1:5" ht="22.05" customHeight="1">
      <c r="A30" s="21"/>
      <c r="B30" s="21"/>
      <c r="C30" s="21"/>
      <c r="D30" s="21"/>
      <c r="E30" s="21"/>
    </row>
    <row r="31" spans="1:5" ht="22.05" customHeight="1">
      <c r="A31" s="21"/>
      <c r="B31" s="21"/>
      <c r="C31" s="21"/>
      <c r="D31" s="21"/>
      <c r="E31" s="21"/>
    </row>
    <row r="32" spans="1:5" ht="22.05" customHeight="1">
      <c r="A32" s="21"/>
      <c r="B32" s="21"/>
      <c r="C32" s="21"/>
      <c r="D32" s="21"/>
      <c r="E32" s="21"/>
    </row>
    <row r="33" spans="1:5" ht="22.05" customHeight="1">
      <c r="A33" s="21"/>
      <c r="B33" s="21"/>
      <c r="C33" s="21"/>
      <c r="D33" s="21"/>
      <c r="E33" s="21"/>
    </row>
    <row r="34" spans="1:5" ht="22.05" customHeight="1">
      <c r="A34" s="21"/>
      <c r="B34" s="21"/>
      <c r="C34" s="21"/>
      <c r="D34" s="21"/>
      <c r="E34" s="21"/>
    </row>
    <row r="35" spans="1:5" ht="22.95" customHeight="1">
      <c r="A35" s="1"/>
      <c r="B35" s="1"/>
      <c r="C35" s="1"/>
      <c r="D35" s="1"/>
      <c r="E35" s="1"/>
    </row>
    <row r="36" spans="1:5" ht="22.95" customHeight="1">
      <c r="A36" s="1"/>
      <c r="B36" s="1"/>
      <c r="C36" s="1"/>
      <c r="D36" s="1"/>
      <c r="E36" s="1"/>
    </row>
    <row r="37" spans="1:5" ht="22.95" customHeight="1">
      <c r="A37" s="1"/>
      <c r="B37" s="1"/>
      <c r="C37" s="1"/>
      <c r="D37" s="1"/>
      <c r="E37" s="1"/>
    </row>
  </sheetData>
  <hyperlinks>
    <hyperlink ref="A3" r:id="rId1" xr:uid="{9F3D89E3-5C27-450A-A344-2093E5114F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showGridLines="0" tabSelected="1" zoomScale="67" zoomScaleNormal="67" workbookViewId="0">
      <pane xSplit="2" ySplit="4" topLeftCell="C8" activePane="bottomRight" state="frozen"/>
      <selection pane="topRight"/>
      <selection pane="bottomLeft"/>
      <selection pane="bottomRight" activeCell="D8" sqref="D8"/>
    </sheetView>
  </sheetViews>
  <sheetFormatPr defaultRowHeight="13.8"/>
  <cols>
    <col min="1" max="1" width="16" customWidth="1"/>
    <col min="2" max="2" width="47" customWidth="1"/>
    <col min="3" max="3" width="44" customWidth="1"/>
    <col min="4" max="4" width="62" customWidth="1"/>
    <col min="5" max="5" width="53" customWidth="1"/>
    <col min="6" max="6" width="51" customWidth="1"/>
    <col min="7" max="8" width="14" customWidth="1"/>
    <col min="9" max="9" width="32" customWidth="1"/>
    <col min="10" max="10" width="26.8984375" customWidth="1"/>
  </cols>
  <sheetData>
    <row r="1" spans="1:10" ht="34.049999999999997" customHeight="1">
      <c r="A1" s="2" t="s">
        <v>22</v>
      </c>
      <c r="B1" s="3"/>
      <c r="C1" s="3"/>
      <c r="D1" s="3"/>
      <c r="E1" s="3"/>
      <c r="F1" s="3"/>
      <c r="G1" s="3"/>
      <c r="H1" s="3"/>
      <c r="I1" s="3"/>
      <c r="J1" s="3"/>
    </row>
    <row r="2" spans="1:10" ht="22.95" customHeight="1">
      <c r="A2" s="4" t="s">
        <v>124</v>
      </c>
      <c r="B2" s="1"/>
      <c r="C2" s="1"/>
      <c r="D2" s="1"/>
      <c r="E2" s="1"/>
      <c r="F2" s="1"/>
      <c r="G2" s="1"/>
      <c r="H2" s="1"/>
      <c r="I2" s="1"/>
      <c r="J2" s="1"/>
    </row>
    <row r="3" spans="1:10" ht="22.95" customHeight="1">
      <c r="A3" s="1"/>
      <c r="B3" s="1"/>
      <c r="C3" s="1"/>
      <c r="D3" s="1"/>
      <c r="E3" s="1"/>
      <c r="F3" s="1"/>
      <c r="G3" s="1"/>
      <c r="H3" s="1"/>
      <c r="I3" s="1"/>
      <c r="J3" s="1"/>
    </row>
    <row r="4" spans="1:10" ht="31.95" customHeight="1">
      <c r="A4" s="10" t="s">
        <v>23</v>
      </c>
      <c r="B4" s="11" t="s">
        <v>24</v>
      </c>
      <c r="C4" s="11" t="s">
        <v>25</v>
      </c>
      <c r="D4" s="11" t="s">
        <v>26</v>
      </c>
      <c r="E4" s="11" t="s">
        <v>27</v>
      </c>
      <c r="F4" s="11" t="s">
        <v>28</v>
      </c>
      <c r="G4" s="11" t="s">
        <v>3</v>
      </c>
      <c r="H4" s="11" t="s">
        <v>16</v>
      </c>
      <c r="I4" s="11" t="s">
        <v>5</v>
      </c>
      <c r="J4" s="12" t="s">
        <v>29</v>
      </c>
    </row>
    <row r="5" spans="1:10" ht="105" customHeight="1">
      <c r="A5" s="7" t="s">
        <v>30</v>
      </c>
      <c r="B5" s="6" t="s">
        <v>31</v>
      </c>
      <c r="C5" s="6" t="s">
        <v>32</v>
      </c>
      <c r="D5" s="6" t="s">
        <v>121</v>
      </c>
      <c r="E5" s="6" t="s">
        <v>33</v>
      </c>
      <c r="F5" s="6" t="s">
        <v>34</v>
      </c>
      <c r="G5" s="13" t="s">
        <v>9</v>
      </c>
      <c r="H5" s="13" t="s">
        <v>19</v>
      </c>
      <c r="I5" s="6" t="s">
        <v>126</v>
      </c>
      <c r="J5" s="13" t="s">
        <v>35</v>
      </c>
    </row>
    <row r="6" spans="1:10" ht="105" customHeight="1">
      <c r="A6" s="9" t="s">
        <v>36</v>
      </c>
      <c r="B6" s="8" t="s">
        <v>37</v>
      </c>
      <c r="C6" s="8" t="s">
        <v>38</v>
      </c>
      <c r="D6" s="8" t="s">
        <v>122</v>
      </c>
      <c r="E6" s="8" t="s">
        <v>39</v>
      </c>
      <c r="F6" s="8" t="s">
        <v>40</v>
      </c>
      <c r="G6" s="14" t="s">
        <v>9</v>
      </c>
      <c r="H6" s="14" t="s">
        <v>19</v>
      </c>
      <c r="I6" s="8" t="s">
        <v>126</v>
      </c>
      <c r="J6" s="14" t="s">
        <v>35</v>
      </c>
    </row>
    <row r="7" spans="1:10" ht="105" customHeight="1">
      <c r="A7" s="7" t="s">
        <v>41</v>
      </c>
      <c r="B7" s="6" t="s">
        <v>42</v>
      </c>
      <c r="C7" s="6" t="s">
        <v>43</v>
      </c>
      <c r="D7" s="6" t="s">
        <v>123</v>
      </c>
      <c r="E7" s="6" t="s">
        <v>44</v>
      </c>
      <c r="F7" s="6" t="s">
        <v>45</v>
      </c>
      <c r="G7" s="13" t="s">
        <v>9</v>
      </c>
      <c r="H7" s="13" t="s">
        <v>19</v>
      </c>
      <c r="I7" s="6" t="s">
        <v>126</v>
      </c>
      <c r="J7" s="13" t="s">
        <v>35</v>
      </c>
    </row>
    <row r="8" spans="1:10" ht="105" customHeight="1">
      <c r="A8" s="9" t="s">
        <v>46</v>
      </c>
      <c r="B8" s="8" t="s">
        <v>47</v>
      </c>
      <c r="C8" s="8" t="s">
        <v>48</v>
      </c>
      <c r="D8" s="8" t="s">
        <v>128</v>
      </c>
      <c r="E8" s="8" t="s">
        <v>49</v>
      </c>
      <c r="F8" s="8" t="s">
        <v>50</v>
      </c>
      <c r="G8" s="14" t="s">
        <v>7</v>
      </c>
      <c r="H8" s="14" t="s">
        <v>18</v>
      </c>
      <c r="I8" s="8" t="s">
        <v>8</v>
      </c>
      <c r="J8" s="14" t="s">
        <v>35</v>
      </c>
    </row>
    <row r="9" spans="1:10" ht="105" customHeight="1">
      <c r="A9" s="7" t="s">
        <v>51</v>
      </c>
      <c r="B9" s="6" t="s">
        <v>52</v>
      </c>
      <c r="C9" s="6" t="s">
        <v>53</v>
      </c>
      <c r="D9" s="6" t="s">
        <v>54</v>
      </c>
      <c r="E9" s="6" t="s">
        <v>55</v>
      </c>
      <c r="F9" s="6" t="s">
        <v>56</v>
      </c>
      <c r="G9" s="13" t="s">
        <v>9</v>
      </c>
      <c r="H9" s="13" t="s">
        <v>19</v>
      </c>
      <c r="I9" s="6" t="s">
        <v>10</v>
      </c>
      <c r="J9" s="13" t="s">
        <v>35</v>
      </c>
    </row>
    <row r="10" spans="1:10" ht="105" customHeight="1">
      <c r="A10" s="9" t="s">
        <v>57</v>
      </c>
      <c r="B10" s="8" t="s">
        <v>58</v>
      </c>
      <c r="C10" s="8" t="s">
        <v>59</v>
      </c>
      <c r="D10" s="8" t="s">
        <v>60</v>
      </c>
      <c r="E10" s="8" t="s">
        <v>61</v>
      </c>
      <c r="F10" s="8" t="s">
        <v>62</v>
      </c>
      <c r="G10" s="14" t="s">
        <v>7</v>
      </c>
      <c r="H10" s="14" t="s">
        <v>18</v>
      </c>
      <c r="I10" s="8" t="s">
        <v>12</v>
      </c>
      <c r="J10" s="14" t="s">
        <v>35</v>
      </c>
    </row>
    <row r="11" spans="1:10" ht="105" customHeight="1">
      <c r="A11" s="7" t="s">
        <v>63</v>
      </c>
      <c r="B11" s="6" t="s">
        <v>64</v>
      </c>
      <c r="C11" s="6" t="s">
        <v>65</v>
      </c>
      <c r="D11" s="6" t="s">
        <v>66</v>
      </c>
      <c r="E11" s="6" t="s">
        <v>67</v>
      </c>
      <c r="F11" s="6" t="s">
        <v>68</v>
      </c>
      <c r="G11" s="13" t="s">
        <v>9</v>
      </c>
      <c r="H11" s="13" t="s">
        <v>19</v>
      </c>
      <c r="I11" s="6" t="s">
        <v>14</v>
      </c>
      <c r="J11" s="13" t="s">
        <v>35</v>
      </c>
    </row>
    <row r="12" spans="1:10" ht="105" customHeight="1">
      <c r="A12" s="9" t="s">
        <v>69</v>
      </c>
      <c r="B12" s="8" t="s">
        <v>70</v>
      </c>
      <c r="C12" s="8" t="s">
        <v>71</v>
      </c>
      <c r="D12" s="8" t="s">
        <v>72</v>
      </c>
      <c r="E12" s="8" t="s">
        <v>73</v>
      </c>
      <c r="F12" s="8" t="s">
        <v>74</v>
      </c>
      <c r="G12" s="14" t="s">
        <v>9</v>
      </c>
      <c r="H12" s="14" t="s">
        <v>21</v>
      </c>
      <c r="I12" s="8" t="s">
        <v>15</v>
      </c>
      <c r="J12" s="14" t="s">
        <v>35</v>
      </c>
    </row>
    <row r="13" spans="1:10" ht="105" customHeight="1">
      <c r="A13" s="7" t="s">
        <v>75</v>
      </c>
      <c r="B13" s="6" t="s">
        <v>76</v>
      </c>
      <c r="C13" s="6" t="s">
        <v>77</v>
      </c>
      <c r="D13" s="6" t="s">
        <v>125</v>
      </c>
      <c r="E13" s="6" t="s">
        <v>78</v>
      </c>
      <c r="F13" s="6" t="s">
        <v>79</v>
      </c>
      <c r="G13" s="13" t="s">
        <v>7</v>
      </c>
      <c r="H13" s="13" t="s">
        <v>18</v>
      </c>
      <c r="I13" s="6" t="s">
        <v>17</v>
      </c>
      <c r="J13" s="13" t="s">
        <v>35</v>
      </c>
    </row>
    <row r="14" spans="1:10" ht="105" customHeight="1">
      <c r="A14" s="9" t="s">
        <v>80</v>
      </c>
      <c r="B14" s="8" t="s">
        <v>81</v>
      </c>
      <c r="C14" s="8" t="s">
        <v>82</v>
      </c>
      <c r="D14" s="8" t="s">
        <v>83</v>
      </c>
      <c r="E14" s="8" t="s">
        <v>84</v>
      </c>
      <c r="F14" s="8" t="s">
        <v>85</v>
      </c>
      <c r="G14" s="14" t="s">
        <v>7</v>
      </c>
      <c r="H14" s="14" t="s">
        <v>19</v>
      </c>
      <c r="I14" s="8" t="s">
        <v>127</v>
      </c>
      <c r="J14" s="14" t="s">
        <v>35</v>
      </c>
    </row>
    <row r="15" spans="1:10" ht="105" customHeight="1">
      <c r="A15" s="7" t="s">
        <v>86</v>
      </c>
      <c r="B15" s="6" t="s">
        <v>87</v>
      </c>
      <c r="C15" s="6" t="s">
        <v>82</v>
      </c>
      <c r="D15" s="6" t="s">
        <v>88</v>
      </c>
      <c r="E15" s="6" t="s">
        <v>89</v>
      </c>
      <c r="F15" s="6" t="s">
        <v>90</v>
      </c>
      <c r="G15" s="13" t="s">
        <v>7</v>
      </c>
      <c r="H15" s="13" t="s">
        <v>19</v>
      </c>
      <c r="I15" s="6" t="s">
        <v>127</v>
      </c>
      <c r="J15" s="13" t="s">
        <v>35</v>
      </c>
    </row>
    <row r="16" spans="1:10" ht="105" customHeight="1">
      <c r="A16" s="9" t="s">
        <v>91</v>
      </c>
      <c r="B16" s="8" t="s">
        <v>92</v>
      </c>
      <c r="C16" s="8" t="s">
        <v>82</v>
      </c>
      <c r="D16" s="8" t="s">
        <v>93</v>
      </c>
      <c r="E16" s="8" t="s">
        <v>94</v>
      </c>
      <c r="F16" s="8" t="s">
        <v>95</v>
      </c>
      <c r="G16" s="14" t="s">
        <v>7</v>
      </c>
      <c r="H16" s="14" t="s">
        <v>19</v>
      </c>
      <c r="I16" s="8" t="s">
        <v>127</v>
      </c>
      <c r="J16" s="14" t="s">
        <v>35</v>
      </c>
    </row>
    <row r="17" spans="1:10" ht="105" customHeight="1">
      <c r="A17" s="7" t="s">
        <v>96</v>
      </c>
      <c r="B17" s="6" t="s">
        <v>97</v>
      </c>
      <c r="C17" s="6" t="s">
        <v>98</v>
      </c>
      <c r="D17" s="6" t="s">
        <v>99</v>
      </c>
      <c r="E17" s="6" t="s">
        <v>100</v>
      </c>
      <c r="F17" s="6" t="s">
        <v>101</v>
      </c>
      <c r="G17" s="13" t="s">
        <v>7</v>
      </c>
      <c r="H17" s="13" t="s">
        <v>19</v>
      </c>
      <c r="I17" s="6" t="s">
        <v>20</v>
      </c>
      <c r="J17" s="13" t="s">
        <v>35</v>
      </c>
    </row>
  </sheetData>
  <conditionalFormatting sqref="G5:G17">
    <cfRule type="containsText" dxfId="6" priority="1" operator="containsText" text="Critical"/>
    <cfRule type="containsText" dxfId="5" priority="2" operator="containsText" text="Major"/>
    <cfRule type="containsText" dxfId="4" priority="3" operator="containsText" text="Minor"/>
    <cfRule type="containsText" dxfId="3" priority="4" operator="containsText" text="Trivial"/>
  </conditionalFormatting>
  <conditionalFormatting sqref="H5:H17">
    <cfRule type="containsText" dxfId="2" priority="5" operator="containsText" text="High"/>
    <cfRule type="containsText" dxfId="1" priority="6" operator="containsText" text="Medium"/>
    <cfRule type="containsText" dxfId="0" priority="7" operator="containsText" text="Low"/>
  </conditionalFormatting>
  <dataValidations count="3">
    <dataValidation type="list" sqref="G5:G17" xr:uid="{00000000-0002-0000-0100-000000000000}">
      <formula1>"Critical,Major,Minor,Trivial"</formula1>
    </dataValidation>
    <dataValidation type="list" sqref="H5:H17" xr:uid="{00000000-0002-0000-0100-000001000000}">
      <formula1>"High,Medium,Low"</formula1>
    </dataValidation>
    <dataValidation type="list" sqref="J5:J17" xr:uid="{00000000-0002-0000-0100-000002000000}">
      <formula1>"Open,In Progress,Fixed,Retest,Closed,Rejected"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topLeftCell="A7" workbookViewId="0">
      <selection activeCell="B12" sqref="B12"/>
    </sheetView>
  </sheetViews>
  <sheetFormatPr defaultRowHeight="13.8"/>
  <cols>
    <col min="1" max="1" width="24" customWidth="1"/>
    <col min="2" max="2" width="110" customWidth="1"/>
  </cols>
  <sheetData>
    <row r="1" spans="1:2" ht="34.049999999999997" customHeight="1">
      <c r="A1" s="2" t="s">
        <v>102</v>
      </c>
      <c r="B1" s="3"/>
    </row>
    <row r="2" spans="1:2" ht="22.95" customHeight="1">
      <c r="A2" s="4" t="s">
        <v>103</v>
      </c>
      <c r="B2" s="1"/>
    </row>
    <row r="3" spans="1:2" ht="22.95" customHeight="1">
      <c r="A3" s="1"/>
      <c r="B3" s="1"/>
    </row>
    <row r="4" spans="1:2" ht="31.95" customHeight="1">
      <c r="A4" s="10" t="s">
        <v>104</v>
      </c>
      <c r="B4" s="12" t="s">
        <v>105</v>
      </c>
    </row>
    <row r="5" spans="1:2" ht="27" customHeight="1">
      <c r="A5" s="9" t="s">
        <v>23</v>
      </c>
      <c r="B5" s="5" t="s">
        <v>106</v>
      </c>
    </row>
    <row r="6" spans="1:2" ht="55.05" customHeight="1">
      <c r="A6" s="9" t="s">
        <v>24</v>
      </c>
      <c r="B6" s="5" t="s">
        <v>107</v>
      </c>
    </row>
    <row r="7" spans="1:2" ht="55.05" customHeight="1">
      <c r="A7" s="9" t="s">
        <v>108</v>
      </c>
      <c r="B7" s="5" t="s">
        <v>109</v>
      </c>
    </row>
    <row r="8" spans="1:2" ht="55.05" customHeight="1">
      <c r="A8" s="9" t="s">
        <v>105</v>
      </c>
      <c r="B8" s="5" t="s">
        <v>110</v>
      </c>
    </row>
    <row r="9" spans="1:2" ht="55.05" customHeight="1">
      <c r="A9" s="9" t="s">
        <v>111</v>
      </c>
      <c r="B9" s="5" t="s">
        <v>112</v>
      </c>
    </row>
    <row r="10" spans="1:2" ht="55.05" customHeight="1">
      <c r="A10" s="9" t="s">
        <v>113</v>
      </c>
      <c r="B10" s="5" t="s">
        <v>114</v>
      </c>
    </row>
    <row r="11" spans="1:2" ht="55.05" customHeight="1">
      <c r="A11" s="9" t="s">
        <v>115</v>
      </c>
      <c r="B11" s="5" t="s">
        <v>116</v>
      </c>
    </row>
    <row r="12" spans="1:2" ht="66" customHeight="1">
      <c r="A12" s="9" t="s">
        <v>119</v>
      </c>
      <c r="B12" s="5"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Summary</vt:lpstr>
      <vt:lpstr>Bug Reports</vt: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Богдан Котьков</cp:lastModifiedBy>
  <dcterms:modified xsi:type="dcterms:W3CDTF">2026-09-15T20:23:56Z</dcterms:modified>
</cp:coreProperties>
</file>